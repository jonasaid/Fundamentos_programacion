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-\Documents\Jona\ESCOM\semestre 1\nada\"/>
    </mc:Choice>
  </mc:AlternateContent>
  <xr:revisionPtr revIDLastSave="0" documentId="13_ncr:1_{ED49B762-A27B-479E-8BAB-B7E1ECB926E9}" xr6:coauthVersionLast="45" xr6:coauthVersionMax="45" xr10:uidLastSave="{00000000-0000-0000-0000-000000000000}"/>
  <bookViews>
    <workbookView xWindow="-120" yWindow="-120" windowWidth="29040" windowHeight="15840" xr2:uid="{E8813A00-7132-4185-BC0B-30D6DADA6E44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I31" i="1"/>
  <c r="I29" i="1"/>
  <c r="I27" i="1"/>
  <c r="I25" i="1"/>
  <c r="I23" i="1"/>
  <c r="S17" i="1"/>
  <c r="S15" i="1"/>
  <c r="S13" i="1"/>
  <c r="S11" i="1"/>
  <c r="S9" i="1"/>
  <c r="S7" i="1"/>
  <c r="I7" i="1"/>
  <c r="I9" i="1"/>
  <c r="I11" i="1"/>
  <c r="I13" i="1"/>
  <c r="I15" i="1"/>
  <c r="I17" i="1"/>
  <c r="J22" i="1" l="1"/>
  <c r="T6" i="1"/>
  <c r="J6" i="1"/>
  <c r="K3" i="1" l="1"/>
</calcChain>
</file>

<file path=xl/sharedStrings.xml><?xml version="1.0" encoding="utf-8"?>
<sst xmlns="http://schemas.openxmlformats.org/spreadsheetml/2006/main" count="96" uniqueCount="79">
  <si>
    <t>Promedio</t>
  </si>
  <si>
    <t>Total</t>
  </si>
  <si>
    <t>Tarea</t>
  </si>
  <si>
    <t>Prácticas</t>
  </si>
  <si>
    <t>Examenes</t>
  </si>
  <si>
    <t>Autoevaluación</t>
  </si>
  <si>
    <t>Foros</t>
  </si>
  <si>
    <t>Moodle</t>
  </si>
  <si>
    <t>T11</t>
  </si>
  <si>
    <t>P11</t>
  </si>
  <si>
    <t>E11</t>
  </si>
  <si>
    <t>E12</t>
  </si>
  <si>
    <t>A11</t>
  </si>
  <si>
    <t>F11</t>
  </si>
  <si>
    <t>Q11</t>
  </si>
  <si>
    <t>Unidad II</t>
  </si>
  <si>
    <t>Unidad I</t>
  </si>
  <si>
    <t>Unidad III</t>
  </si>
  <si>
    <t>T21</t>
  </si>
  <si>
    <t>P21</t>
  </si>
  <si>
    <t>P22</t>
  </si>
  <si>
    <t>E22</t>
  </si>
  <si>
    <t>E21</t>
  </si>
  <si>
    <t>A21</t>
  </si>
  <si>
    <t>F21</t>
  </si>
  <si>
    <t>Q21</t>
  </si>
  <si>
    <t>Q22</t>
  </si>
  <si>
    <t>T31</t>
  </si>
  <si>
    <t>P31</t>
  </si>
  <si>
    <t>E31</t>
  </si>
  <si>
    <t>A31</t>
  </si>
  <si>
    <t>F31</t>
  </si>
  <si>
    <t>Q31</t>
  </si>
  <si>
    <t>Calificaciones del curso Fundamentos de Programación (2020-2)</t>
  </si>
  <si>
    <t>Programación Estructurada</t>
  </si>
  <si>
    <t>Apuntadores, Tipos de Datos Estructurados y Funciones</t>
  </si>
  <si>
    <t>Manejo de Memoria Dinámica y Archivos</t>
  </si>
  <si>
    <t>T12</t>
  </si>
  <si>
    <t>T13</t>
  </si>
  <si>
    <t>T14</t>
  </si>
  <si>
    <t>T15</t>
  </si>
  <si>
    <t>E14</t>
  </si>
  <si>
    <t>E15</t>
  </si>
  <si>
    <t>A12</t>
  </si>
  <si>
    <t>A13</t>
  </si>
  <si>
    <t>A14</t>
  </si>
  <si>
    <t>A15</t>
  </si>
  <si>
    <t>F12</t>
  </si>
  <si>
    <t>F13</t>
  </si>
  <si>
    <t>F14</t>
  </si>
  <si>
    <t>F15</t>
  </si>
  <si>
    <t>Q12</t>
  </si>
  <si>
    <t>Q13</t>
  </si>
  <si>
    <t>Q14</t>
  </si>
  <si>
    <t>Q23</t>
  </si>
  <si>
    <t>Q24</t>
  </si>
  <si>
    <t>Q25</t>
  </si>
  <si>
    <t>Q26</t>
  </si>
  <si>
    <t>Q32</t>
  </si>
  <si>
    <t>T22</t>
  </si>
  <si>
    <t>A22</t>
  </si>
  <si>
    <t>F22</t>
  </si>
  <si>
    <t>T23</t>
  </si>
  <si>
    <t>T24</t>
  </si>
  <si>
    <t>T25</t>
  </si>
  <si>
    <t>T26</t>
  </si>
  <si>
    <t>P23</t>
  </si>
  <si>
    <t>E23</t>
  </si>
  <si>
    <t>E24</t>
  </si>
  <si>
    <t>F23</t>
  </si>
  <si>
    <t>F24</t>
  </si>
  <si>
    <t>F25</t>
  </si>
  <si>
    <t>T32</t>
  </si>
  <si>
    <t>T33</t>
  </si>
  <si>
    <t>P32</t>
  </si>
  <si>
    <t>E32</t>
  </si>
  <si>
    <t>F32</t>
  </si>
  <si>
    <t>T16</t>
  </si>
  <si>
    <t>A32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</si>
</sst>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0" xfId="0" applyProtection="1"/>
    <xf numFmtId="0" fontId="5" fillId="0" borderId="0" xfId="0" applyFont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6" xfId="0" applyBorder="1" applyProtection="1"/>
    <xf numFmtId="9" fontId="0" fillId="0" borderId="11" xfId="0" applyNumberFormat="1" applyBorder="1" applyAlignment="1" applyProtection="1">
      <alignment horizontal="center"/>
    </xf>
    <xf numFmtId="0" fontId="0" fillId="0" borderId="11" xfId="0" applyBorder="1" applyProtection="1"/>
    <xf numFmtId="0" fontId="0" fillId="0" borderId="11" xfId="0" applyBorder="1" applyAlignment="1" applyProtection="1">
      <alignment horizontal="center"/>
    </xf>
    <xf numFmtId="9" fontId="0" fillId="0" borderId="12" xfId="0" applyNumberFormat="1" applyBorder="1" applyAlignment="1" applyProtection="1">
      <alignment horizontal="center"/>
    </xf>
    <xf numFmtId="0" fontId="0" fillId="0" borderId="12" xfId="0" applyBorder="1" applyProtection="1"/>
    <xf numFmtId="0" fontId="0" fillId="0" borderId="9" xfId="0" applyBorder="1" applyProtection="1"/>
    <xf numFmtId="0" fontId="0" fillId="0" borderId="10" xfId="0" applyBorder="1" applyAlignment="1" applyProtection="1">
      <alignment horizontal="center" vertical="center" wrapText="1"/>
    </xf>
    <xf numFmtId="0" fontId="0" fillId="0" borderId="12" xfId="0" applyBorder="1" applyAlignment="1" applyProtection="1">
      <alignment horizontal="center" vertical="center" wrapText="1"/>
    </xf>
    <xf numFmtId="0" fontId="4" fillId="0" borderId="13" xfId="0" applyFont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0" borderId="15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/>
    </xf>
    <xf numFmtId="0" fontId="5" fillId="0" borderId="16" xfId="0" applyFont="1" applyBorder="1" applyAlignment="1" applyProtection="1">
      <alignment horizontal="center"/>
    </xf>
    <xf numFmtId="2" fontId="6" fillId="0" borderId="16" xfId="0" applyNumberFormat="1" applyFont="1" applyBorder="1" applyAlignment="1" applyProtection="1">
      <alignment horizontal="center"/>
    </xf>
    <xf numFmtId="9" fontId="3" fillId="0" borderId="13" xfId="0" applyNumberFormat="1" applyFont="1" applyBorder="1" applyAlignment="1" applyProtection="1">
      <alignment horizontal="left"/>
    </xf>
    <xf numFmtId="9" fontId="3" fillId="0" borderId="14" xfId="0" applyNumberFormat="1" applyFont="1" applyBorder="1" applyAlignment="1" applyProtection="1">
      <alignment horizontal="left"/>
    </xf>
    <xf numFmtId="9" fontId="3" fillId="0" borderId="15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79F8-3F2F-4D37-9AAD-A3100336AEBF}">
  <dimension ref="B2:AD35"/>
  <sheetViews>
    <sheetView tabSelected="1" zoomScaleNormal="100" workbookViewId="0">
      <selection activeCell="D25" sqref="D25"/>
    </sheetView>
  </sheetViews>
  <sheetFormatPr baseColWidth="10" defaultRowHeight="15" x14ac:dyDescent="0.25"/>
  <cols>
    <col min="1" max="1" width="11.42578125" style="13"/>
    <col min="2" max="2" width="17.28515625" style="13" bestFit="1" customWidth="1"/>
    <col min="3" max="8" width="5.7109375" style="13" customWidth="1"/>
    <col min="9" max="10" width="8.7109375" style="13" customWidth="1"/>
    <col min="11" max="11" width="11.42578125" style="13"/>
    <col min="12" max="12" width="17.28515625" style="13" bestFit="1" customWidth="1"/>
    <col min="13" max="18" width="5.7109375" style="13" customWidth="1"/>
    <col min="19" max="20" width="8.7109375" style="13" customWidth="1"/>
    <col min="21" max="21" width="11.42578125" style="13"/>
    <col min="22" max="22" width="15.7109375" style="13" customWidth="1"/>
    <col min="23" max="28" width="5.7109375" style="13" customWidth="1"/>
    <col min="29" max="30" width="8.7109375" style="13" customWidth="1"/>
    <col min="31" max="16384" width="11.42578125" style="13"/>
  </cols>
  <sheetData>
    <row r="2" spans="2:20" ht="18.75" x14ac:dyDescent="0.3">
      <c r="B2" s="33" t="s">
        <v>33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2:20" ht="18.75" x14ac:dyDescent="0.3">
      <c r="B3" s="14"/>
      <c r="C3" s="14"/>
      <c r="D3" s="14"/>
      <c r="E3" s="14"/>
      <c r="F3" s="14"/>
      <c r="G3" s="14"/>
      <c r="H3" s="14"/>
      <c r="I3" s="34" t="s">
        <v>1</v>
      </c>
      <c r="J3" s="34"/>
      <c r="K3" s="35">
        <f>(J6+T6+J22)/10</f>
        <v>8.5688333038933866</v>
      </c>
      <c r="L3" s="35"/>
      <c r="M3" s="14"/>
      <c r="N3" s="14"/>
      <c r="O3" s="14"/>
      <c r="P3" s="14"/>
      <c r="Q3" s="14"/>
      <c r="R3" s="14"/>
      <c r="S3" s="14"/>
      <c r="T3" s="14"/>
    </row>
    <row r="4" spans="2:20" ht="15.75" thickBot="1" x14ac:dyDescent="0.3"/>
    <row r="5" spans="2:20" ht="33" customHeight="1" thickTop="1" thickBot="1" x14ac:dyDescent="0.3">
      <c r="B5" s="26" t="s">
        <v>16</v>
      </c>
      <c r="C5" s="28" t="s">
        <v>34</v>
      </c>
      <c r="D5" s="29"/>
      <c r="E5" s="29"/>
      <c r="F5" s="29"/>
      <c r="G5" s="29"/>
      <c r="H5" s="30"/>
      <c r="I5" s="31" t="s">
        <v>0</v>
      </c>
      <c r="J5" s="15" t="s">
        <v>1</v>
      </c>
      <c r="L5" s="26" t="s">
        <v>15</v>
      </c>
      <c r="M5" s="28" t="s">
        <v>35</v>
      </c>
      <c r="N5" s="29"/>
      <c r="O5" s="29"/>
      <c r="P5" s="29"/>
      <c r="Q5" s="29"/>
      <c r="R5" s="30"/>
      <c r="S5" s="31" t="s">
        <v>0</v>
      </c>
      <c r="T5" s="15" t="s">
        <v>1</v>
      </c>
    </row>
    <row r="6" spans="2:20" ht="17.25" thickTop="1" thickBot="1" x14ac:dyDescent="0.3">
      <c r="B6" s="27"/>
      <c r="C6" s="36">
        <v>0.33333333300000001</v>
      </c>
      <c r="D6" s="37"/>
      <c r="E6" s="37"/>
      <c r="F6" s="37"/>
      <c r="G6" s="37"/>
      <c r="H6" s="38"/>
      <c r="I6" s="32"/>
      <c r="J6" s="16">
        <f>C6*(I7*B8+I9*B10+I11*B12+I13*B14+I15*B16+I17*B18)</f>
        <v>32.232777745545</v>
      </c>
      <c r="L6" s="27"/>
      <c r="M6" s="36">
        <v>0.33333333333333298</v>
      </c>
      <c r="N6" s="37"/>
      <c r="O6" s="37"/>
      <c r="P6" s="37"/>
      <c r="Q6" s="37"/>
      <c r="R6" s="38"/>
      <c r="S6" s="32"/>
      <c r="T6" s="16">
        <f>M6*(S7*L8+S9*L10+S11*L12+S13*L14+S15*L16+S17*L18)</f>
        <v>27.238888888888862</v>
      </c>
    </row>
    <row r="7" spans="2:20" ht="15.75" thickTop="1" x14ac:dyDescent="0.25">
      <c r="B7" s="17" t="s">
        <v>2</v>
      </c>
      <c r="C7" s="1" t="s">
        <v>8</v>
      </c>
      <c r="D7" s="2" t="s">
        <v>37</v>
      </c>
      <c r="E7" s="2" t="s">
        <v>38</v>
      </c>
      <c r="F7" s="2" t="s">
        <v>39</v>
      </c>
      <c r="G7" s="2" t="s">
        <v>40</v>
      </c>
      <c r="H7" s="3" t="s">
        <v>77</v>
      </c>
      <c r="I7" s="18">
        <f>IF(6-COUNTBLANK(C7:H7)=0,100,(SUM(C8:H8)/(6-COUNTBLANK(C7:H7))))</f>
        <v>92.166666666666671</v>
      </c>
      <c r="J7" s="19"/>
      <c r="L7" s="17" t="s">
        <v>2</v>
      </c>
      <c r="M7" s="1" t="s">
        <v>18</v>
      </c>
      <c r="N7" s="2" t="s">
        <v>59</v>
      </c>
      <c r="O7" s="2" t="s">
        <v>62</v>
      </c>
      <c r="P7" s="2" t="s">
        <v>63</v>
      </c>
      <c r="Q7" s="2" t="s">
        <v>64</v>
      </c>
      <c r="R7" s="3" t="s">
        <v>65</v>
      </c>
      <c r="S7" s="18">
        <f>IF(6-COUNTBLANK(M7:R7)=0,100,(SUM(M8:R8)/(6-COUNTBLANK(M7:R7))))</f>
        <v>72.333333333333329</v>
      </c>
      <c r="T7" s="19"/>
    </row>
    <row r="8" spans="2:20" x14ac:dyDescent="0.25">
      <c r="B8" s="20">
        <v>0.2</v>
      </c>
      <c r="C8" s="4">
        <v>100</v>
      </c>
      <c r="D8" s="5">
        <v>95</v>
      </c>
      <c r="E8" s="5">
        <v>73</v>
      </c>
      <c r="F8" s="5">
        <v>100</v>
      </c>
      <c r="G8" s="5">
        <v>90</v>
      </c>
      <c r="H8" s="6">
        <v>95</v>
      </c>
      <c r="I8" s="21"/>
      <c r="J8" s="19"/>
      <c r="L8" s="20">
        <v>0.2</v>
      </c>
      <c r="M8" s="4">
        <v>80</v>
      </c>
      <c r="N8" s="5">
        <v>95</v>
      </c>
      <c r="O8" s="5">
        <v>0</v>
      </c>
      <c r="P8" s="5">
        <v>88</v>
      </c>
      <c r="Q8" s="5">
        <v>71</v>
      </c>
      <c r="R8" s="6">
        <v>100</v>
      </c>
      <c r="S8" s="21"/>
      <c r="T8" s="19"/>
    </row>
    <row r="9" spans="2:20" x14ac:dyDescent="0.25">
      <c r="B9" s="17" t="s">
        <v>3</v>
      </c>
      <c r="C9" s="7" t="s">
        <v>9</v>
      </c>
      <c r="D9" s="8"/>
      <c r="E9" s="8"/>
      <c r="F9" s="8"/>
      <c r="G9" s="8"/>
      <c r="H9" s="9"/>
      <c r="I9" s="22">
        <f>IF(6-COUNTBLANK(C9:H9)=0,100,(SUM(C10:H10)/(6-COUNTBLANK(C9:H9))))</f>
        <v>100</v>
      </c>
      <c r="J9" s="19"/>
      <c r="L9" s="17" t="s">
        <v>3</v>
      </c>
      <c r="M9" s="7" t="s">
        <v>19</v>
      </c>
      <c r="N9" s="8" t="s">
        <v>20</v>
      </c>
      <c r="O9" s="8" t="s">
        <v>66</v>
      </c>
      <c r="P9" s="8"/>
      <c r="Q9" s="8"/>
      <c r="R9" s="9"/>
      <c r="S9" s="22">
        <f>IF(6-COUNTBLANK(M9:R9)=0,100,(SUM(M10:R10)/(6-COUNTBLANK(M9:R9))))</f>
        <v>63.333333333333336</v>
      </c>
      <c r="T9" s="19"/>
    </row>
    <row r="10" spans="2:20" x14ac:dyDescent="0.25">
      <c r="B10" s="20">
        <v>0.3</v>
      </c>
      <c r="C10" s="4">
        <v>100</v>
      </c>
      <c r="D10" s="5"/>
      <c r="E10" s="5"/>
      <c r="F10" s="5"/>
      <c r="G10" s="5"/>
      <c r="H10" s="6"/>
      <c r="I10" s="21"/>
      <c r="J10" s="19"/>
      <c r="L10" s="20">
        <v>0.3</v>
      </c>
      <c r="M10" s="4">
        <v>100</v>
      </c>
      <c r="N10" s="5">
        <v>90</v>
      </c>
      <c r="O10" s="5">
        <v>0</v>
      </c>
      <c r="P10" s="5"/>
      <c r="Q10" s="5"/>
      <c r="R10" s="6"/>
      <c r="S10" s="21"/>
      <c r="T10" s="19"/>
    </row>
    <row r="11" spans="2:20" x14ac:dyDescent="0.25">
      <c r="B11" s="17" t="s">
        <v>4</v>
      </c>
      <c r="C11" s="7" t="s">
        <v>10</v>
      </c>
      <c r="D11" s="8" t="s">
        <v>11</v>
      </c>
      <c r="E11" s="8" t="s">
        <v>41</v>
      </c>
      <c r="F11" s="8" t="s">
        <v>42</v>
      </c>
      <c r="G11" s="8"/>
      <c r="H11" s="9"/>
      <c r="I11" s="22">
        <f>IF(6-COUNTBLANK(C11:H11)=0,100,(SUM(C12:H12)/(6-COUNTBLANK(C11:H11))))</f>
        <v>72.5</v>
      </c>
      <c r="J11" s="19"/>
      <c r="L11" s="17" t="s">
        <v>4</v>
      </c>
      <c r="M11" s="7" t="s">
        <v>22</v>
      </c>
      <c r="N11" s="8" t="s">
        <v>21</v>
      </c>
      <c r="O11" s="8" t="s">
        <v>67</v>
      </c>
      <c r="P11" s="8" t="s">
        <v>68</v>
      </c>
      <c r="Q11" s="8"/>
      <c r="R11" s="9"/>
      <c r="S11" s="22">
        <f>IF(6-COUNTBLANK(M11:R11)=0,100,(SUM(M12:R12)/(6-COUNTBLANK(M11:R11))))</f>
        <v>77</v>
      </c>
      <c r="T11" s="19"/>
    </row>
    <row r="12" spans="2:20" x14ac:dyDescent="0.25">
      <c r="B12" s="20">
        <v>0.4</v>
      </c>
      <c r="C12" s="4">
        <v>63</v>
      </c>
      <c r="D12" s="5">
        <v>80</v>
      </c>
      <c r="E12" s="5">
        <v>75</v>
      </c>
      <c r="F12" s="5">
        <v>72</v>
      </c>
      <c r="G12" s="5"/>
      <c r="H12" s="6"/>
      <c r="I12" s="21"/>
      <c r="J12" s="19"/>
      <c r="L12" s="20">
        <v>0.4</v>
      </c>
      <c r="M12" s="4">
        <v>78</v>
      </c>
      <c r="N12" s="5">
        <v>50</v>
      </c>
      <c r="O12" s="5">
        <v>100</v>
      </c>
      <c r="P12" s="5">
        <v>80</v>
      </c>
      <c r="Q12" s="5"/>
      <c r="R12" s="6"/>
      <c r="S12" s="21"/>
      <c r="T12" s="19"/>
    </row>
    <row r="13" spans="2:20" x14ac:dyDescent="0.25">
      <c r="B13" s="17" t="s">
        <v>5</v>
      </c>
      <c r="C13" s="7" t="s">
        <v>12</v>
      </c>
      <c r="D13" s="8" t="s">
        <v>43</v>
      </c>
      <c r="E13" s="8" t="s">
        <v>44</v>
      </c>
      <c r="F13" s="8" t="s">
        <v>45</v>
      </c>
      <c r="G13" s="8" t="s">
        <v>46</v>
      </c>
      <c r="H13" s="9"/>
      <c r="I13" s="22">
        <f>IF(6-COUNTBLANK(C13:H13)=0,100,(SUM(C14:H14)/(6-COUNTBLANK(C13:H13))))</f>
        <v>95.8</v>
      </c>
      <c r="J13" s="19"/>
      <c r="L13" s="17" t="s">
        <v>5</v>
      </c>
      <c r="M13" s="7" t="s">
        <v>23</v>
      </c>
      <c r="N13" s="8" t="s">
        <v>60</v>
      </c>
      <c r="O13" s="8"/>
      <c r="P13" s="8"/>
      <c r="Q13" s="8"/>
      <c r="R13" s="9"/>
      <c r="S13" s="22">
        <f>IF(6-COUNTBLANK(M13:R13)=0,100,(SUM(M14:R14)/(6-COUNTBLANK(M13:R13))))</f>
        <v>100</v>
      </c>
      <c r="T13" s="19"/>
    </row>
    <row r="14" spans="2:20" x14ac:dyDescent="0.25">
      <c r="B14" s="20">
        <v>0.05</v>
      </c>
      <c r="C14" s="4">
        <v>88</v>
      </c>
      <c r="D14" s="5">
        <v>96</v>
      </c>
      <c r="E14" s="5">
        <v>100</v>
      </c>
      <c r="F14" s="5">
        <v>100</v>
      </c>
      <c r="G14" s="5">
        <v>95</v>
      </c>
      <c r="H14" s="6"/>
      <c r="I14" s="21"/>
      <c r="J14" s="19"/>
      <c r="L14" s="20">
        <v>0.05</v>
      </c>
      <c r="M14" s="4">
        <v>100</v>
      </c>
      <c r="N14" s="5">
        <v>100</v>
      </c>
      <c r="O14" s="5"/>
      <c r="P14" s="5"/>
      <c r="Q14" s="5"/>
      <c r="R14" s="6"/>
      <c r="S14" s="21"/>
      <c r="T14" s="19"/>
    </row>
    <row r="15" spans="2:20" x14ac:dyDescent="0.25">
      <c r="B15" s="17" t="s">
        <v>6</v>
      </c>
      <c r="C15" s="7" t="s">
        <v>13</v>
      </c>
      <c r="D15" s="8" t="s">
        <v>47</v>
      </c>
      <c r="E15" s="8" t="s">
        <v>48</v>
      </c>
      <c r="F15" s="8" t="s">
        <v>49</v>
      </c>
      <c r="G15" s="8" t="s">
        <v>50</v>
      </c>
      <c r="H15" s="9"/>
      <c r="I15" s="22">
        <f>IF(6-COUNTBLANK(C15:H15)=0,100,(SUM(C16:H16)/(6-COUNTBLANK(C15:H15))))</f>
        <v>98</v>
      </c>
      <c r="J15" s="19"/>
      <c r="L15" s="17" t="s">
        <v>6</v>
      </c>
      <c r="M15" s="7" t="s">
        <v>24</v>
      </c>
      <c r="N15" s="8" t="s">
        <v>61</v>
      </c>
      <c r="O15" s="8" t="s">
        <v>69</v>
      </c>
      <c r="P15" s="8" t="s">
        <v>70</v>
      </c>
      <c r="Q15" s="8" t="s">
        <v>71</v>
      </c>
      <c r="R15" s="9"/>
      <c r="S15" s="22">
        <f>IF(6-COUNTBLANK(M15:R15)=0,100,(SUM(M16:R16)/(6-COUNTBLANK(M15:R15))))</f>
        <v>87</v>
      </c>
      <c r="T15" s="19"/>
    </row>
    <row r="16" spans="2:20" x14ac:dyDescent="0.25">
      <c r="B16" s="20">
        <v>0.1</v>
      </c>
      <c r="C16" s="4">
        <v>100</v>
      </c>
      <c r="D16" s="5">
        <v>90</v>
      </c>
      <c r="E16" s="5">
        <v>100</v>
      </c>
      <c r="F16" s="5">
        <v>100</v>
      </c>
      <c r="G16" s="5">
        <v>100</v>
      </c>
      <c r="H16" s="6"/>
      <c r="I16" s="21"/>
      <c r="J16" s="19"/>
      <c r="L16" s="20">
        <v>0.1</v>
      </c>
      <c r="M16" s="4">
        <v>90</v>
      </c>
      <c r="N16" s="5">
        <v>100</v>
      </c>
      <c r="O16" s="5">
        <v>80</v>
      </c>
      <c r="P16" s="5">
        <v>85</v>
      </c>
      <c r="Q16" s="5">
        <v>80</v>
      </c>
      <c r="R16" s="6"/>
      <c r="S16" s="21"/>
      <c r="T16" s="19"/>
    </row>
    <row r="17" spans="2:30" x14ac:dyDescent="0.25">
      <c r="B17" s="17" t="s">
        <v>7</v>
      </c>
      <c r="C17" s="7" t="s">
        <v>14</v>
      </c>
      <c r="D17" s="8" t="s">
        <v>51</v>
      </c>
      <c r="E17" s="8" t="s">
        <v>52</v>
      </c>
      <c r="F17" s="8" t="s">
        <v>53</v>
      </c>
      <c r="G17" s="8"/>
      <c r="H17" s="9"/>
      <c r="I17" s="22">
        <f>IF(6-COUNTBLANK(C17:H17)=0,100,(SUM(C18:H18)/(6-COUNTBLANK(C17:H17))))</f>
        <v>93.5</v>
      </c>
      <c r="J17" s="19"/>
      <c r="L17" s="17" t="s">
        <v>7</v>
      </c>
      <c r="M17" s="7" t="s">
        <v>25</v>
      </c>
      <c r="N17" s="8" t="s">
        <v>26</v>
      </c>
      <c r="O17" s="8" t="s">
        <v>54</v>
      </c>
      <c r="P17" s="8" t="s">
        <v>55</v>
      </c>
      <c r="Q17" s="8" t="s">
        <v>56</v>
      </c>
      <c r="R17" s="9" t="s">
        <v>57</v>
      </c>
      <c r="S17" s="22">
        <f>IF(6-COUNTBLANK(M17:R17)=0,100,(SUM(M18:R18)/(6-COUNTBLANK(M17:R17))))</f>
        <v>75</v>
      </c>
      <c r="T17" s="19"/>
    </row>
    <row r="18" spans="2:30" ht="15.75" thickBot="1" x14ac:dyDescent="0.3">
      <c r="B18" s="23">
        <v>0.05</v>
      </c>
      <c r="C18" s="10">
        <v>85</v>
      </c>
      <c r="D18" s="11">
        <v>100</v>
      </c>
      <c r="E18" s="11">
        <v>100</v>
      </c>
      <c r="F18" s="11">
        <v>89</v>
      </c>
      <c r="G18" s="11"/>
      <c r="H18" s="12"/>
      <c r="I18" s="24"/>
      <c r="J18" s="25"/>
      <c r="L18" s="23">
        <v>0.05</v>
      </c>
      <c r="M18" s="10">
        <v>100</v>
      </c>
      <c r="N18" s="11">
        <v>0</v>
      </c>
      <c r="O18" s="11">
        <v>100</v>
      </c>
      <c r="P18" s="11">
        <v>85</v>
      </c>
      <c r="Q18" s="11">
        <v>90</v>
      </c>
      <c r="R18" s="12">
        <v>75</v>
      </c>
      <c r="S18" s="24"/>
      <c r="T18" s="25"/>
    </row>
    <row r="19" spans="2:30" ht="15.75" thickTop="1" x14ac:dyDescent="0.25"/>
    <row r="20" spans="2:30" ht="15.75" thickBot="1" x14ac:dyDescent="0.3"/>
    <row r="21" spans="2:30" ht="33" customHeight="1" thickTop="1" thickBot="1" x14ac:dyDescent="0.3">
      <c r="B21" s="26" t="s">
        <v>17</v>
      </c>
      <c r="C21" s="28" t="s">
        <v>36</v>
      </c>
      <c r="D21" s="29"/>
      <c r="E21" s="29"/>
      <c r="F21" s="29"/>
      <c r="G21" s="29"/>
      <c r="H21" s="30"/>
      <c r="I21" s="31" t="s">
        <v>0</v>
      </c>
      <c r="J21" s="15" t="s">
        <v>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2:30" ht="17.25" thickTop="1" thickBot="1" x14ac:dyDescent="0.3">
      <c r="B22" s="27"/>
      <c r="C22" s="36">
        <v>0.33333332999999998</v>
      </c>
      <c r="D22" s="37"/>
      <c r="E22" s="37"/>
      <c r="F22" s="37"/>
      <c r="G22" s="37"/>
      <c r="H22" s="38"/>
      <c r="I22" s="32"/>
      <c r="J22" s="16">
        <f>C22*(I23*B24+I25*B26+I27*B28+I29*B30+I31*B32+I33*B34)</f>
        <v>26.2166664045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2:30" ht="15.75" thickTop="1" x14ac:dyDescent="0.25">
      <c r="B23" s="17" t="s">
        <v>2</v>
      </c>
      <c r="C23" s="1" t="s">
        <v>27</v>
      </c>
      <c r="D23" s="2" t="s">
        <v>72</v>
      </c>
      <c r="E23" s="2" t="s">
        <v>73</v>
      </c>
      <c r="F23" s="2"/>
      <c r="G23" s="2"/>
      <c r="H23" s="3"/>
      <c r="I23" s="18">
        <f>IF(6-COUNTBLANK(C23:H23)=0,100,(SUM(C24:H24)/(6-COUNTBLANK(C23:H23))))</f>
        <v>96</v>
      </c>
      <c r="J23" s="19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0" x14ac:dyDescent="0.25">
      <c r="B24" s="20">
        <v>0.2</v>
      </c>
      <c r="C24" s="4">
        <v>100</v>
      </c>
      <c r="D24" s="5">
        <v>100</v>
      </c>
      <c r="E24" s="5">
        <v>88</v>
      </c>
      <c r="F24" s="5"/>
      <c r="G24" s="5"/>
      <c r="H24" s="6"/>
      <c r="I24" s="21"/>
      <c r="J24" s="19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0" x14ac:dyDescent="0.25">
      <c r="B25" s="17" t="s">
        <v>3</v>
      </c>
      <c r="C25" s="7" t="s">
        <v>28</v>
      </c>
      <c r="D25" s="8" t="s">
        <v>74</v>
      </c>
      <c r="E25" s="8"/>
      <c r="F25" s="8"/>
      <c r="G25" s="8"/>
      <c r="H25" s="9"/>
      <c r="I25" s="22">
        <f>IF(6-COUNTBLANK(C25:H25)=0,100,(SUM(C26:H26)/(6-COUNTBLANK(C25:H25))))</f>
        <v>25</v>
      </c>
      <c r="J25" s="19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 x14ac:dyDescent="0.25">
      <c r="B26" s="20">
        <v>0.3</v>
      </c>
      <c r="C26" s="4">
        <v>0</v>
      </c>
      <c r="D26" s="5">
        <v>50</v>
      </c>
      <c r="E26" s="5"/>
      <c r="F26" s="5"/>
      <c r="G26" s="5"/>
      <c r="H26" s="6"/>
      <c r="I26" s="21"/>
      <c r="J26" s="19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0" x14ac:dyDescent="0.25">
      <c r="B27" s="17" t="s">
        <v>4</v>
      </c>
      <c r="C27" s="7" t="s">
        <v>29</v>
      </c>
      <c r="D27" s="8" t="s">
        <v>75</v>
      </c>
      <c r="E27" s="8"/>
      <c r="F27" s="8"/>
      <c r="G27" s="8"/>
      <c r="H27" s="9"/>
      <c r="I27" s="22">
        <f>IF(6-COUNTBLANK(C27:H27)=0,100,(SUM(C28:H28)/(6-COUNTBLANK(C27:H27))))</f>
        <v>90</v>
      </c>
      <c r="J27" s="19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 x14ac:dyDescent="0.25">
      <c r="B28" s="20">
        <v>0.4</v>
      </c>
      <c r="C28" s="4">
        <v>80</v>
      </c>
      <c r="D28" s="5">
        <v>100</v>
      </c>
      <c r="E28" s="5"/>
      <c r="F28" s="5"/>
      <c r="G28" s="5"/>
      <c r="H28" s="6"/>
      <c r="I28" s="21"/>
      <c r="J28" s="19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0" x14ac:dyDescent="0.25">
      <c r="B29" s="17" t="s">
        <v>5</v>
      </c>
      <c r="C29" s="7" t="s">
        <v>30</v>
      </c>
      <c r="D29" s="8" t="s">
        <v>78</v>
      </c>
      <c r="E29" s="8"/>
      <c r="F29" s="8"/>
      <c r="G29" s="8"/>
      <c r="H29" s="9"/>
      <c r="I29" s="22">
        <f>IF(6-COUNTBLANK(C29:H29)=0,100,(SUM(C30:H30)/(6-COUNTBLANK(C29:H29))))</f>
        <v>100</v>
      </c>
      <c r="J29" s="1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0" x14ac:dyDescent="0.25">
      <c r="B30" s="20">
        <v>0.05</v>
      </c>
      <c r="C30" s="4">
        <v>100</v>
      </c>
      <c r="D30" s="5">
        <v>100</v>
      </c>
      <c r="E30" s="5"/>
      <c r="F30" s="5"/>
      <c r="G30" s="5"/>
      <c r="H30" s="6"/>
      <c r="I30" s="21"/>
      <c r="J30" s="19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0" x14ac:dyDescent="0.25">
      <c r="B31" s="17" t="s">
        <v>6</v>
      </c>
      <c r="C31" s="7" t="s">
        <v>31</v>
      </c>
      <c r="D31" s="8" t="s">
        <v>76</v>
      </c>
      <c r="E31" s="8"/>
      <c r="F31" s="8"/>
      <c r="G31" s="8"/>
      <c r="H31" s="9"/>
      <c r="I31" s="22">
        <f>IF(6-COUNTBLANK(C31:H31)=0,100,(SUM(C32:H32)/(6-COUNTBLANK(C31:H31))))</f>
        <v>85</v>
      </c>
      <c r="J31" s="19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0" x14ac:dyDescent="0.25">
      <c r="B32" s="20">
        <v>0.1</v>
      </c>
      <c r="C32" s="4">
        <v>90</v>
      </c>
      <c r="D32" s="5">
        <v>80</v>
      </c>
      <c r="E32" s="5"/>
      <c r="F32" s="5"/>
      <c r="G32" s="5"/>
      <c r="H32" s="6"/>
      <c r="I32" s="21"/>
      <c r="J32" s="19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2:30" x14ac:dyDescent="0.25">
      <c r="B33" s="17" t="s">
        <v>7</v>
      </c>
      <c r="C33" s="7" t="s">
        <v>32</v>
      </c>
      <c r="D33" s="8" t="s">
        <v>58</v>
      </c>
      <c r="E33" s="8"/>
      <c r="F33" s="8"/>
      <c r="G33" s="8"/>
      <c r="H33" s="9"/>
      <c r="I33" s="22">
        <f>IF(6-COUNTBLANK(C33:H33)=0,100,(SUM(C34:H34)/(6-COUNTBLANK(C33:H33))))</f>
        <v>49</v>
      </c>
      <c r="J33" s="19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2:30" ht="15.75" thickBot="1" x14ac:dyDescent="0.3">
      <c r="B34" s="23">
        <v>0.05</v>
      </c>
      <c r="C34" s="10">
        <v>40</v>
      </c>
      <c r="D34" s="11">
        <v>58</v>
      </c>
      <c r="E34" s="11"/>
      <c r="F34" s="11"/>
      <c r="G34" s="11"/>
      <c r="H34" s="12"/>
      <c r="I34" s="24"/>
      <c r="J34" s="25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2:30" ht="15.75" thickTop="1" x14ac:dyDescent="0.25"/>
  </sheetData>
  <sheetProtection algorithmName="SHA-512" hashValue="JZjnhD6LoS1kU1WyA4eRzat8lvjOl+dRxVJkPMbxzVweOltT08tE1Z1HMwNi7XDQ776DzQ3gOzEDwFAF9zOBPA==" saltValue="7jAncSlrlGoakJOMhXsFZw==" spinCount="100000" sheet="1" objects="1" scenarios="1" selectLockedCells="1"/>
  <protectedRanges>
    <protectedRange algorithmName="SHA-512" hashValue="xjTFq3UzZoqEKmUvZ+wvRe1Yq5l3q32LEbih8CkUC7gfzgAXO+GO7Qzanl3jnhh84SlhM7SdnGkbQzqJlS7/bA==" saltValue="iy7h1KSnUMHDstTKgjc/hg==" spinCount="100000" sqref="C7:H18 M7:R18 C23:H34" name="Rango1"/>
  </protectedRanges>
  <mergeCells count="15">
    <mergeCell ref="B21:B22"/>
    <mergeCell ref="C21:H21"/>
    <mergeCell ref="I21:I22"/>
    <mergeCell ref="M5:R5"/>
    <mergeCell ref="B2:T2"/>
    <mergeCell ref="I3:J3"/>
    <mergeCell ref="K3:L3"/>
    <mergeCell ref="S5:S6"/>
    <mergeCell ref="M6:R6"/>
    <mergeCell ref="B5:B6"/>
    <mergeCell ref="C22:H22"/>
    <mergeCell ref="C5:H5"/>
    <mergeCell ref="C6:H6"/>
    <mergeCell ref="I5:I6"/>
    <mergeCell ref="L5:L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Jesús Gutiérrez García</dc:creator>
  <cp:lastModifiedBy>Jona Gómez</cp:lastModifiedBy>
  <dcterms:created xsi:type="dcterms:W3CDTF">2019-08-06T13:29:41Z</dcterms:created>
  <dcterms:modified xsi:type="dcterms:W3CDTF">2020-07-13T04:34:50Z</dcterms:modified>
</cp:coreProperties>
</file>